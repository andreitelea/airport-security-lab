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cales" sheetId="2" state="visible" r:id="rId4"/>
    <sheet name="Treatment Plan" sheetId="3" state="visible" r:id="rId5"/>
  </sheets>
  <definedNames>
    <definedName function="false" hidden="true" localSheetId="0" name="_xlnm._FilterDatabase" vbProcedure="false">'Risk Register'!$A$5:$J$18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Low starts at 1 (minimum possible score). Bands are a stated lab convention, not a standard.</t>
        </r>
      </text>
    </comment>
  </commentList>
</comments>
</file>

<file path=xl/sharedStrings.xml><?xml version="1.0" encoding="utf-8"?>
<sst xmlns="http://schemas.openxmlformats.org/spreadsheetml/2006/main" count="145" uniqueCount="114">
  <si>
    <t xml:space="preserve">Monteverde Airport – Information Security Risk Register (RISK-REG-2026-001)</t>
  </si>
  <si>
    <t xml:space="preserve">Method: NIST SP 800-30 Rev.1 / ISO/IEC 27005 (qualitative 5x5). Treatment per ISO/IEC 27001:2022. Date: 2026-10-10. Scores are reasoned estimates for the simulated airport scenario, not measured values.</t>
  </si>
  <si>
    <t xml:space="preserve">Legend: blue cells (Likelihood, Impact, Treatment) are inputs — edit them; Score and Level are formulas and update automatically. Scales and level bands: see 'Scales' sheet.</t>
  </si>
  <si>
    <t xml:space="preserve">ID</t>
  </si>
  <si>
    <t xml:space="preserve">Asset / area</t>
  </si>
  <si>
    <t xml:space="preserve">Threat</t>
  </si>
  <si>
    <t xml:space="preserve">Vulnerability</t>
  </si>
  <si>
    <t xml:space="preserve">Existing controls</t>
  </si>
  <si>
    <t xml:space="preserve">Likelihood (1-5)</t>
  </si>
  <si>
    <t xml:space="preserve">Impact (1-5)</t>
  </si>
  <si>
    <t xml:space="preserve">Score (L×I)</t>
  </si>
  <si>
    <t xml:space="preserve">Level</t>
  </si>
  <si>
    <t xml:space="preserve">Treatment</t>
  </si>
  <si>
    <t xml:space="preserve">R-01</t>
  </si>
  <si>
    <t xml:space="preserve">OPNsense firewall (management GUI)</t>
  </si>
  <si>
    <t xml:space="preserve">Unauthorised access to firewall management from the check-in zone</t>
  </si>
  <si>
    <t xml:space="preserve">Anti-lockout rule leaves the GUI reachable from the whole check-in LAN; Office/IT admin zone not yet built</t>
  </si>
  <si>
    <t xml:space="preserve">Web rules exclude PRIVATE_NETS; GUI over HTTPS; SecOps admin restricted to soc-ws01</t>
  </si>
  <si>
    <t xml:space="preserve">Mitigate</t>
  </si>
  <si>
    <t xml:space="preserve">R-02</t>
  </si>
  <si>
    <t xml:space="preserve">Wazuh manager (agent enrollment)</t>
  </si>
  <si>
    <t xml:space="preserve">Rogue or spoofed agent registers with the SIEM</t>
  </si>
  <si>
    <t xml:space="preserve">Agent enrollment has no password/authentication</t>
  </si>
  <si>
    <t xml:space="preserve">Enrollment ports (1514/1515) reachable only from the two active zones</t>
  </si>
  <si>
    <t xml:space="preserve">R-03</t>
  </si>
  <si>
    <t xml:space="preserve">checkin-srv / checkin-pc01 (file integrity)</t>
  </si>
  <si>
    <t xml:space="preserve">Undetected tampering with critical files</t>
  </si>
  <si>
    <t xml:space="preserve">FIM runs on a schedule, not in real time</t>
  </si>
  <si>
    <t xml:space="preserve">Wazuh FIM active on a schedule; Sysmon on checkin-pc01</t>
  </si>
  <si>
    <t xml:space="preserve">R-04</t>
  </si>
  <si>
    <t xml:space="preserve">Internal time service (NTP)</t>
  </si>
  <si>
    <t xml:space="preserve">Time spoofing that corrupts log correlation and certificate validation</t>
  </si>
  <si>
    <t xml:space="preserve">Internal NTP (firewall → hosts) is not authenticated</t>
  </si>
  <si>
    <t xml:space="preserve">Single internal time source (firewall); Hyper-V time sync disabled on guests</t>
  </si>
  <si>
    <t xml:space="preserve">Accept</t>
  </si>
  <si>
    <t xml:space="preserve">R-05</t>
  </si>
  <si>
    <t xml:space="preserve">Grafana (mon-srv)</t>
  </si>
  <si>
    <t xml:space="preserve">Interception of monitoring credentials / data</t>
  </si>
  <si>
    <t xml:space="preserve">Grafana served over plain HTTP</t>
  </si>
  <si>
    <t xml:space="preserve">Reachable only from soc-ws01 (ufw + firewall rule)</t>
  </si>
  <si>
    <t xml:space="preserve">R-06</t>
  </si>
  <si>
    <t xml:space="preserve">mon-srv, soc-ws01, firewall (telemetry)</t>
  </si>
  <si>
    <t xml:space="preserve">Attacker activity on hosts without a SIEM agent goes unseen</t>
  </si>
  <si>
    <t xml:space="preserve">No Wazuh agent on mon-srv/soc-ws01; perimeter blocks visible only in OPNsense live view; soc-ws01 ufw blocks stay local</t>
  </si>
  <si>
    <t xml:space="preserve">Host ufw active everywhere; perimeter firewall logging; Sysmon on the endpoint</t>
  </si>
  <si>
    <t xml:space="preserve">R-07</t>
  </si>
  <si>
    <t xml:space="preserve">Network segmentation</t>
  </si>
  <si>
    <t xml:space="preserve">Lateral movement / admin traffic outside a controlled zone</t>
  </si>
  <si>
    <t xml:space="preserve">Office/IT zone not built; VM administration from the Hyper-V console on the host</t>
  </si>
  <si>
    <t xml:space="preserve">Stateful firewall, default-deny between zones; only two zones active</t>
  </si>
  <si>
    <t xml:space="preserve">R-08</t>
  </si>
  <si>
    <t xml:space="preserve">checkin-pc01 (Windows 11 evaluation)</t>
  </si>
  <si>
    <t xml:space="preserve">Loss of the endpoint / lab environment</t>
  </si>
  <si>
    <t xml:space="preserve">Evaluation licence expires ~end December 2026</t>
  </si>
  <si>
    <t xml:space="preserve">Checkpoints taken; chapter work completed before expiry</t>
  </si>
  <si>
    <t xml:space="preserve">R-09</t>
  </si>
  <si>
    <t xml:space="preserve">Wazuh detection rules</t>
  </si>
  <si>
    <t xml:space="preserve">Missed detection or alert fatigue</t>
  </si>
  <si>
    <t xml:space="preserve">Custom rule 100101 (port scan) not fully tuned; MITRE tags incomplete on custom rules</t>
  </si>
  <si>
    <t xml:space="preserve">Custom rules tested with wazuh-logtest; sysmon-modular ruleset</t>
  </si>
  <si>
    <t xml:space="preserve">R-10</t>
  </si>
  <si>
    <t xml:space="preserve">Host firewall logging (ufw)</t>
  </si>
  <si>
    <t xml:space="preserve">Security-relevant packets not recorded</t>
  </si>
  <si>
    <t xml:space="preserve">ufw logging set to 'low' (samples packets, not all)</t>
  </si>
  <si>
    <t xml:space="preserve">ufw active on servers and soc-ws01; blocks forwarded to Wazuh on checkin-srv</t>
  </si>
  <si>
    <t xml:space="preserve">R-11</t>
  </si>
  <si>
    <t xml:space="preserve">checkin-pc01 (host configuration)</t>
  </si>
  <si>
    <t xml:space="preserve">Residual weakening of endpoint hardening after lab exercises</t>
  </si>
  <si>
    <t xml:space="preserve">PowerShell execution policy left at RemoteSigned (CurrentUser) after chapter 9</t>
  </si>
  <si>
    <t xml:space="preserve">Atomic Red Team removed via pre-atomic checkpoint; Defender stayed active throughout</t>
  </si>
  <si>
    <t xml:space="preserve">R-12</t>
  </si>
  <si>
    <t xml:space="preserve">Hyper-V host (VM management)</t>
  </si>
  <si>
    <t xml:space="preserve">Slow or error-prone recovery actions under pressure</t>
  </si>
  <si>
    <t xml:space="preserve">Hyper-V PowerShell module not installed on the host; management is GUI-only</t>
  </si>
  <si>
    <t xml:space="preserve">Documented GUI procedures for checkpoint/network/restore</t>
  </si>
  <si>
    <t xml:space="preserve">R-13</t>
  </si>
  <si>
    <t xml:space="preserve">checkin-srv (business application)</t>
  </si>
  <si>
    <t xml:space="preserve">The core business service cannot be protected or monitored in context</t>
  </si>
  <si>
    <t xml:space="preserve">Check-in application not yet deployed on checkin-srv</t>
  </si>
  <si>
    <t xml:space="preserve">Host hardened (ufw, static IP, NTP, Wazuh agent) ready to host it</t>
  </si>
  <si>
    <t xml:space="preserve">Summary by level</t>
  </si>
  <si>
    <t xml:space="preserve">Critical</t>
  </si>
  <si>
    <t xml:space="preserve">High</t>
  </si>
  <si>
    <t xml:space="preserve">Medium</t>
  </si>
  <si>
    <t xml:space="preserve">Low</t>
  </si>
  <si>
    <t xml:space="preserve">Total risks</t>
  </si>
  <si>
    <t xml:space="preserve">Scales and level bands</t>
  </si>
  <si>
    <t xml:space="preserve">Likelihood</t>
  </si>
  <si>
    <t xml:space="preserve">Impact</t>
  </si>
  <si>
    <t xml:space="preserve">Score</t>
  </si>
  <si>
    <t xml:space="preserve">Meaning</t>
  </si>
  <si>
    <t xml:space="preserve">Rare</t>
  </si>
  <si>
    <t xml:space="preserve">Negligible</t>
  </si>
  <si>
    <t xml:space="preserve">Unlikely</t>
  </si>
  <si>
    <t xml:space="preserve">Minor</t>
  </si>
  <si>
    <t xml:space="preserve">Possible</t>
  </si>
  <si>
    <t xml:space="preserve">Moderate</t>
  </si>
  <si>
    <t xml:space="preserve">Likely</t>
  </si>
  <si>
    <t xml:space="preserve">Major</t>
  </si>
  <si>
    <t xml:space="preserve">Almost certain</t>
  </si>
  <si>
    <t xml:space="preserve">Severe (operations stopped / large data breach)</t>
  </si>
  <si>
    <t xml:space="preserve">Level bands (lab convention — edit the lower bounds in blue to change thresholds)</t>
  </si>
  <si>
    <t xml:space="preserve">Min score</t>
  </si>
  <si>
    <t xml:space="preserve">Treatment options (ISO/IEC 27001:2022): Mitigate · Accept · Avoid · Transfer</t>
  </si>
  <si>
    <t xml:space="preserve">Risk treatment plan – actions for 'Mitigate' items</t>
  </si>
  <si>
    <t xml:space="preserve">Planned action</t>
  </si>
  <si>
    <t xml:space="preserve">Status</t>
  </si>
  <si>
    <t xml:space="preserve">Build the Office/IT zone and restrict firewall management to it; tighten the anti-lockout exposure</t>
  </si>
  <si>
    <t xml:space="preserve">Planned</t>
  </si>
  <si>
    <t xml:space="preserve">Install Wazuh agents on mon-srv and soc-ws01; forward OPNsense logs (syslog) to Wazuh</t>
  </si>
  <si>
    <t xml:space="preserve">Enable Wazuh agent enrollment password</t>
  </si>
  <si>
    <t xml:space="preserve">Set FIM to realtime on critical directories</t>
  </si>
  <si>
    <t xml:space="preserve">Issue a TLS certificate for Grafana</t>
  </si>
  <si>
    <t xml:space="preserve">Tune rule 100101; add MITRE technique tags to custom rules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</si>
</sst>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00000"/>
        </patternFill>
      </fill>
    </dxf>
    <dxf>
      <fill>
        <patternFill>
          <bgColor rgb="FFF4B183"/>
        </patternFill>
      </fill>
    </dxf>
    <dxf>
      <fill>
        <patternFill>
          <bgColor rgb="FFFFE699"/>
        </patternFill>
      </fill>
    </dxf>
    <dxf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A9D08E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40"/>
    <col collapsed="false" customWidth="true" hidden="false" outlineLevel="0" max="6" min="6" style="0" width="11"/>
    <col collapsed="false" customWidth="true" hidden="false" outlineLevel="0" max="9" min="7" style="0" width="1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35.05" hidden="false" customHeight="false" outlineLevel="0" collapsed="false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5" t="n">
        <v>3</v>
      </c>
      <c r="G6" s="5" t="n">
        <v>5</v>
      </c>
      <c r="H6" s="6" t="n">
        <f aca="false">F6*G6</f>
        <v>15</v>
      </c>
      <c r="I6" s="7" t="str">
        <f aca="false">IF(H6&gt;=Scales!$A$17,"Critical",IF(H6&gt;=Scales!$A$16,"High",IF(H6&gt;=Scales!$A$15,"Medium","Low")))</f>
        <v>High</v>
      </c>
      <c r="J6" s="5" t="s">
        <v>18</v>
      </c>
    </row>
    <row r="7" customFormat="false" ht="23.85" hidden="false" customHeight="false" outlineLevel="0" collapsed="false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5" t="n">
        <v>2</v>
      </c>
      <c r="G7" s="5" t="n">
        <v>4</v>
      </c>
      <c r="H7" s="6" t="n">
        <f aca="false">F7*G7</f>
        <v>8</v>
      </c>
      <c r="I7" s="7" t="str">
        <f aca="false">IF(H7&gt;=Scales!$A$17,"Critical",IF(H7&gt;=Scales!$A$16,"High",IF(H7&gt;=Scales!$A$15,"Medium","Low")))</f>
        <v>Medium</v>
      </c>
      <c r="J7" s="5" t="s">
        <v>18</v>
      </c>
    </row>
    <row r="8" customFormat="false" ht="23.85" hidden="false" customHeight="false" outlineLevel="0" collapsed="false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5" t="n">
        <v>3</v>
      </c>
      <c r="G8" s="5" t="n">
        <v>3</v>
      </c>
      <c r="H8" s="6" t="n">
        <f aca="false">F8*G8</f>
        <v>9</v>
      </c>
      <c r="I8" s="7" t="str">
        <f aca="false">IF(H8&gt;=Scales!$A$17,"Critical",IF(H8&gt;=Scales!$A$16,"High",IF(H8&gt;=Scales!$A$15,"Medium","Low")))</f>
        <v>Medium</v>
      </c>
      <c r="J8" s="5" t="s">
        <v>18</v>
      </c>
    </row>
    <row r="9" customFormat="false" ht="23.85" hidden="false" customHeight="false" outlineLevel="0" collapsed="false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5" t="n">
        <v>2</v>
      </c>
      <c r="G9" s="5" t="n">
        <v>3</v>
      </c>
      <c r="H9" s="6" t="n">
        <f aca="false">F9*G9</f>
        <v>6</v>
      </c>
      <c r="I9" s="7" t="str">
        <f aca="false">IF(H9&gt;=Scales!$A$17,"Critical",IF(H9&gt;=Scales!$A$16,"High",IF(H9&gt;=Scales!$A$15,"Medium","Low")))</f>
        <v>Medium</v>
      </c>
      <c r="J9" s="5" t="s">
        <v>34</v>
      </c>
    </row>
    <row r="10" customFormat="false" ht="23.85" hidden="false" customHeight="false" outlineLevel="0" collapsed="false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5" t="n">
        <v>2</v>
      </c>
      <c r="G10" s="5" t="n">
        <v>2</v>
      </c>
      <c r="H10" s="6" t="n">
        <f aca="false">F10*G10</f>
        <v>4</v>
      </c>
      <c r="I10" s="7" t="str">
        <f aca="false">IF(H10&gt;=Scales!$A$17,"Critical",IF(H10&gt;=Scales!$A$16,"High",IF(H10&gt;=Scales!$A$15,"Medium","Low")))</f>
        <v>Low</v>
      </c>
      <c r="J10" s="5" t="s">
        <v>18</v>
      </c>
    </row>
    <row r="11" customFormat="false" ht="35.05" hidden="false" customHeight="false" outlineLevel="0" collapsed="false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  <c r="F11" s="5" t="n">
        <v>3</v>
      </c>
      <c r="G11" s="5" t="n">
        <v>4</v>
      </c>
      <c r="H11" s="6" t="n">
        <f aca="false">F11*G11</f>
        <v>12</v>
      </c>
      <c r="I11" s="7" t="str">
        <f aca="false">IF(H11&gt;=Scales!$A$17,"Critical",IF(H11&gt;=Scales!$A$16,"High",IF(H11&gt;=Scales!$A$15,"Medium","Low")))</f>
        <v>High</v>
      </c>
      <c r="J11" s="5" t="s">
        <v>18</v>
      </c>
    </row>
    <row r="12" customFormat="false" ht="23.85" hidden="false" customHeight="false" outlineLevel="0" collapsed="false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  <c r="F12" s="5" t="n">
        <v>2</v>
      </c>
      <c r="G12" s="5" t="n">
        <v>4</v>
      </c>
      <c r="H12" s="6" t="n">
        <f aca="false">F12*G12</f>
        <v>8</v>
      </c>
      <c r="I12" s="7" t="str">
        <f aca="false">IF(H12&gt;=Scales!$A$17,"Critical",IF(H12&gt;=Scales!$A$16,"High",IF(H12&gt;=Scales!$A$15,"Medium","Low")))</f>
        <v>Medium</v>
      </c>
      <c r="J12" s="5" t="s">
        <v>34</v>
      </c>
    </row>
    <row r="13" customFormat="false" ht="23.85" hidden="false" customHeight="false" outlineLevel="0" collapsed="false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54</v>
      </c>
      <c r="F13" s="5" t="n">
        <v>4</v>
      </c>
      <c r="G13" s="5" t="n">
        <v>2</v>
      </c>
      <c r="H13" s="6" t="n">
        <f aca="false">F13*G13</f>
        <v>8</v>
      </c>
      <c r="I13" s="7" t="str">
        <f aca="false">IF(H13&gt;=Scales!$A$17,"Critical",IF(H13&gt;=Scales!$A$16,"High",IF(H13&gt;=Scales!$A$15,"Medium","Low")))</f>
        <v>Medium</v>
      </c>
      <c r="J13" s="5" t="s">
        <v>34</v>
      </c>
    </row>
    <row r="14" customFormat="false" ht="23.85" hidden="false" customHeight="false" outlineLevel="0" collapsed="false">
      <c r="A14" s="4" t="s">
        <v>55</v>
      </c>
      <c r="B14" s="4" t="s">
        <v>56</v>
      </c>
      <c r="C14" s="4" t="s">
        <v>57</v>
      </c>
      <c r="D14" s="4" t="s">
        <v>58</v>
      </c>
      <c r="E14" s="4" t="s">
        <v>59</v>
      </c>
      <c r="F14" s="5" t="n">
        <v>3</v>
      </c>
      <c r="G14" s="5" t="n">
        <v>3</v>
      </c>
      <c r="H14" s="6" t="n">
        <f aca="false">F14*G14</f>
        <v>9</v>
      </c>
      <c r="I14" s="7" t="str">
        <f aca="false">IF(H14&gt;=Scales!$A$17,"Critical",IF(H14&gt;=Scales!$A$16,"High",IF(H14&gt;=Scales!$A$15,"Medium","Low")))</f>
        <v>Medium</v>
      </c>
      <c r="J14" s="5" t="s">
        <v>18</v>
      </c>
    </row>
    <row r="15" customFormat="false" ht="23.85" hidden="false" customHeight="false" outlineLevel="0" collapsed="false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64</v>
      </c>
      <c r="F15" s="5" t="n">
        <v>3</v>
      </c>
      <c r="G15" s="5" t="n">
        <v>2</v>
      </c>
      <c r="H15" s="6" t="n">
        <f aca="false">F15*G15</f>
        <v>6</v>
      </c>
      <c r="I15" s="7" t="str">
        <f aca="false">IF(H15&gt;=Scales!$A$17,"Critical",IF(H15&gt;=Scales!$A$16,"High",IF(H15&gt;=Scales!$A$15,"Medium","Low")))</f>
        <v>Medium</v>
      </c>
      <c r="J15" s="5" t="s">
        <v>34</v>
      </c>
    </row>
    <row r="16" customFormat="false" ht="23.85" hidden="false" customHeight="false" outlineLevel="0" collapsed="false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  <c r="F16" s="5" t="n">
        <v>2</v>
      </c>
      <c r="G16" s="5" t="n">
        <v>2</v>
      </c>
      <c r="H16" s="6" t="n">
        <f aca="false">F16*G16</f>
        <v>4</v>
      </c>
      <c r="I16" s="7" t="str">
        <f aca="false">IF(H16&gt;=Scales!$A$17,"Critical",IF(H16&gt;=Scales!$A$16,"High",IF(H16&gt;=Scales!$A$15,"Medium","Low")))</f>
        <v>Low</v>
      </c>
      <c r="J16" s="5" t="s">
        <v>34</v>
      </c>
    </row>
    <row r="17" customFormat="false" ht="23.85" hidden="false" customHeight="false" outlineLevel="0" collapsed="false">
      <c r="A17" s="4" t="s">
        <v>70</v>
      </c>
      <c r="B17" s="4" t="s">
        <v>71</v>
      </c>
      <c r="C17" s="4" t="s">
        <v>72</v>
      </c>
      <c r="D17" s="4" t="s">
        <v>73</v>
      </c>
      <c r="E17" s="4" t="s">
        <v>74</v>
      </c>
      <c r="F17" s="5" t="n">
        <v>2</v>
      </c>
      <c r="G17" s="5" t="n">
        <v>2</v>
      </c>
      <c r="H17" s="6" t="n">
        <f aca="false">F17*G17</f>
        <v>4</v>
      </c>
      <c r="I17" s="7" t="str">
        <f aca="false">IF(H17&gt;=Scales!$A$17,"Critical",IF(H17&gt;=Scales!$A$16,"High",IF(H17&gt;=Scales!$A$15,"Medium","Low")))</f>
        <v>Low</v>
      </c>
      <c r="J17" s="5" t="s">
        <v>34</v>
      </c>
    </row>
    <row r="18" customFormat="false" ht="23.85" hidden="false" customHeight="false" outlineLevel="0" collapsed="false">
      <c r="A18" s="4" t="s">
        <v>75</v>
      </c>
      <c r="B18" s="4" t="s">
        <v>76</v>
      </c>
      <c r="C18" s="4" t="s">
        <v>77</v>
      </c>
      <c r="D18" s="4" t="s">
        <v>78</v>
      </c>
      <c r="E18" s="4" t="s">
        <v>79</v>
      </c>
      <c r="F18" s="5" t="n">
        <v>3</v>
      </c>
      <c r="G18" s="5" t="n">
        <v>2</v>
      </c>
      <c r="H18" s="6" t="n">
        <f aca="false">F18*G18</f>
        <v>6</v>
      </c>
      <c r="I18" s="7" t="str">
        <f aca="false">IF(H18&gt;=Scales!$A$17,"Critical",IF(H18&gt;=Scales!$A$16,"High",IF(H18&gt;=Scales!$A$15,"Medium","Low")))</f>
        <v>Medium</v>
      </c>
      <c r="J18" s="5" t="s">
        <v>34</v>
      </c>
    </row>
    <row r="20" customFormat="false" ht="15" hidden="false" customHeight="false" outlineLevel="0" collapsed="false">
      <c r="B20" s="8" t="s">
        <v>80</v>
      </c>
    </row>
    <row r="21" customFormat="false" ht="15" hidden="false" customHeight="false" outlineLevel="0" collapsed="false">
      <c r="B21" s="9" t="s">
        <v>81</v>
      </c>
      <c r="C21" s="9" t="n">
        <f aca="false">COUNTIF($I$6:$I$18,B21)</f>
        <v>0</v>
      </c>
    </row>
    <row r="22" customFormat="false" ht="15" hidden="false" customHeight="false" outlineLevel="0" collapsed="false">
      <c r="B22" s="9" t="s">
        <v>82</v>
      </c>
      <c r="C22" s="9" t="n">
        <f aca="false">COUNTIF($I$6:$I$18,B22)</f>
        <v>2</v>
      </c>
    </row>
    <row r="23" customFormat="false" ht="15" hidden="false" customHeight="false" outlineLevel="0" collapsed="false">
      <c r="B23" s="9" t="s">
        <v>83</v>
      </c>
      <c r="C23" s="9" t="n">
        <f aca="false">COUNTIF($I$6:$I$18,B23)</f>
        <v>8</v>
      </c>
    </row>
    <row r="24" customFormat="false" ht="15" hidden="false" customHeight="false" outlineLevel="0" collapsed="false">
      <c r="B24" s="9" t="s">
        <v>84</v>
      </c>
      <c r="C24" s="9" t="n">
        <f aca="false">COUNTIF($I$6:$I$18,B24)</f>
        <v>3</v>
      </c>
    </row>
    <row r="25" customFormat="false" ht="15" hidden="false" customHeight="false" outlineLevel="0" collapsed="false">
      <c r="B25" s="8" t="s">
        <v>85</v>
      </c>
      <c r="C25" s="8" t="n">
        <f aca="false">SUM(C21:C24)</f>
        <v>13</v>
      </c>
    </row>
  </sheetData>
  <autoFilter ref="A5:J18"/>
  <conditionalFormatting sqref="I6:I18">
    <cfRule type="expression" priority="2" aboveAverage="0" equalAverage="0" bottom="0" percent="0" rank="0" text="" dxfId="7">
      <formula>$I6="Critical"</formula>
    </cfRule>
    <cfRule type="expression" priority="3" aboveAverage="0" equalAverage="0" bottom="0" percent="0" rank="0" text="" dxfId="8">
      <formula>$I6="High"</formula>
    </cfRule>
    <cfRule type="expression" priority="4" aboveAverage="0" equalAverage="0" bottom="0" percent="0" rank="0" text="" dxfId="9">
      <formula>$I6="Medium"</formula>
    </cfRule>
    <cfRule type="expression" priority="5" aboveAverage="0" equalAverage="0" bottom="0" percent="0" rank="0" text="" dxfId="10">
      <formula>$I6="Low"</formula>
    </cfRule>
  </conditionalFormatting>
  <dataValidations count="2">
    <dataValidation allowBlank="false" error="Enter a whole number from 1 to 5" errorStyle="stop" errorTitle="Invalid" operator="between" showDropDown="false" showErrorMessage="true" showInputMessage="false" sqref="F6:G18" type="whole">
      <formula1>1</formula1>
      <formula2>5</formula2>
    </dataValidation>
    <dataValidation allowBlank="false" errorStyle="stop" operator="between" showDropDown="false" showErrorMessage="true" showInputMessage="false" sqref="J6:J18" type="list">
      <formula1>"Mitigate,Accept,Avoid,Transfer"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12"/>
    <col collapsed="false" customWidth="true" hidden="false" outlineLevel="0" max="5" min="5" style="0" width="44"/>
  </cols>
  <sheetData>
    <row r="1" customFormat="false" ht="16.15" hidden="false" customHeight="false" outlineLevel="0" collapsed="false">
      <c r="A1" s="10" t="s">
        <v>86</v>
      </c>
    </row>
    <row r="3" customFormat="false" ht="15" hidden="false" customHeight="false" outlineLevel="0" collapsed="false">
      <c r="A3" s="8" t="s">
        <v>87</v>
      </c>
      <c r="D3" s="8" t="s">
        <v>88</v>
      </c>
    </row>
    <row r="4" customFormat="false" ht="15" hidden="false" customHeight="false" outlineLevel="0" collapsed="false">
      <c r="A4" s="11" t="s">
        <v>89</v>
      </c>
      <c r="B4" s="11" t="s">
        <v>90</v>
      </c>
      <c r="D4" s="11" t="s">
        <v>89</v>
      </c>
      <c r="E4" s="11" t="s">
        <v>90</v>
      </c>
    </row>
    <row r="5" customFormat="false" ht="15" hidden="false" customHeight="false" outlineLevel="0" collapsed="false">
      <c r="A5" s="9" t="n">
        <v>1</v>
      </c>
      <c r="B5" s="9" t="s">
        <v>91</v>
      </c>
      <c r="D5" s="9" t="n">
        <v>1</v>
      </c>
      <c r="E5" s="9" t="s">
        <v>92</v>
      </c>
    </row>
    <row r="6" customFormat="false" ht="15" hidden="false" customHeight="false" outlineLevel="0" collapsed="false">
      <c r="A6" s="9" t="n">
        <v>2</v>
      </c>
      <c r="B6" s="9" t="s">
        <v>93</v>
      </c>
      <c r="D6" s="9" t="n">
        <v>2</v>
      </c>
      <c r="E6" s="9" t="s">
        <v>94</v>
      </c>
    </row>
    <row r="7" customFormat="false" ht="15" hidden="false" customHeight="false" outlineLevel="0" collapsed="false">
      <c r="A7" s="9" t="n">
        <v>3</v>
      </c>
      <c r="B7" s="9" t="s">
        <v>95</v>
      </c>
      <c r="D7" s="9" t="n">
        <v>3</v>
      </c>
      <c r="E7" s="9" t="s">
        <v>96</v>
      </c>
    </row>
    <row r="8" customFormat="false" ht="15" hidden="false" customHeight="false" outlineLevel="0" collapsed="false">
      <c r="A8" s="9" t="n">
        <v>4</v>
      </c>
      <c r="B8" s="9" t="s">
        <v>97</v>
      </c>
      <c r="D8" s="9" t="n">
        <v>4</v>
      </c>
      <c r="E8" s="9" t="s">
        <v>98</v>
      </c>
    </row>
    <row r="9" customFormat="false" ht="15" hidden="false" customHeight="false" outlineLevel="0" collapsed="false">
      <c r="A9" s="9" t="n">
        <v>5</v>
      </c>
      <c r="B9" s="9" t="s">
        <v>99</v>
      </c>
      <c r="D9" s="9" t="n">
        <v>5</v>
      </c>
      <c r="E9" s="9" t="s">
        <v>100</v>
      </c>
    </row>
    <row r="12" customFormat="false" ht="15" hidden="false" customHeight="false" outlineLevel="0" collapsed="false">
      <c r="A12" s="8" t="s">
        <v>101</v>
      </c>
    </row>
    <row r="13" customFormat="false" ht="15" hidden="false" customHeight="false" outlineLevel="0" collapsed="false">
      <c r="A13" s="11" t="s">
        <v>102</v>
      </c>
      <c r="B13" s="11" t="s">
        <v>11</v>
      </c>
    </row>
    <row r="14" customFormat="false" ht="15" hidden="false" customHeight="false" outlineLevel="0" collapsed="false">
      <c r="A14" s="12" t="n">
        <v>1</v>
      </c>
      <c r="B14" s="9" t="s">
        <v>84</v>
      </c>
    </row>
    <row r="15" customFormat="false" ht="15" hidden="false" customHeight="false" outlineLevel="0" collapsed="false">
      <c r="A15" s="12" t="n">
        <v>5</v>
      </c>
      <c r="B15" s="9" t="s">
        <v>83</v>
      </c>
    </row>
    <row r="16" customFormat="false" ht="15" hidden="false" customHeight="false" outlineLevel="0" collapsed="false">
      <c r="A16" s="12" t="n">
        <v>10</v>
      </c>
      <c r="B16" s="9" t="s">
        <v>82</v>
      </c>
    </row>
    <row r="17" customFormat="false" ht="15" hidden="false" customHeight="false" outlineLevel="0" collapsed="false">
      <c r="A17" s="12" t="n">
        <v>16</v>
      </c>
      <c r="B17" s="9" t="s">
        <v>81</v>
      </c>
    </row>
    <row r="19" customFormat="false" ht="15" hidden="false" customHeight="false" outlineLevel="0" collapsed="false">
      <c r="A19" s="9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10" t="s">
        <v>104</v>
      </c>
    </row>
    <row r="3" customFormat="false" ht="15" hidden="false" customHeight="false" outlineLevel="0" collapsed="false">
      <c r="A3" s="11" t="s">
        <v>3</v>
      </c>
      <c r="B3" s="11" t="s">
        <v>11</v>
      </c>
      <c r="C3" s="11" t="s">
        <v>105</v>
      </c>
      <c r="D3" s="11" t="s">
        <v>106</v>
      </c>
    </row>
    <row r="4" customFormat="false" ht="23.85" hidden="false" customHeight="false" outlineLevel="0" collapsed="false">
      <c r="A4" s="9" t="s">
        <v>13</v>
      </c>
      <c r="B4" s="13" t="str">
        <f aca="false">INDEX('Risk Register'!$I$6:$I$18,MATCH(A4,'Risk Register'!$A$6:$A$18,0))</f>
        <v>High</v>
      </c>
      <c r="C4" s="14" t="s">
        <v>107</v>
      </c>
      <c r="D4" s="12" t="s">
        <v>108</v>
      </c>
    </row>
    <row r="5" customFormat="false" ht="23.85" hidden="false" customHeight="false" outlineLevel="0" collapsed="false">
      <c r="A5" s="9" t="s">
        <v>40</v>
      </c>
      <c r="B5" s="13" t="str">
        <f aca="false">INDEX('Risk Register'!$I$6:$I$18,MATCH(A5,'Risk Register'!$A$6:$A$18,0))</f>
        <v>High</v>
      </c>
      <c r="C5" s="14" t="s">
        <v>109</v>
      </c>
      <c r="D5" s="12" t="s">
        <v>108</v>
      </c>
    </row>
    <row r="6" customFormat="false" ht="15" hidden="false" customHeight="false" outlineLevel="0" collapsed="false">
      <c r="A6" s="9" t="s">
        <v>19</v>
      </c>
      <c r="B6" s="13" t="str">
        <f aca="false">INDEX('Risk Register'!$I$6:$I$18,MATCH(A6,'Risk Register'!$A$6:$A$18,0))</f>
        <v>Medium</v>
      </c>
      <c r="C6" s="14" t="s">
        <v>110</v>
      </c>
      <c r="D6" s="12" t="s">
        <v>108</v>
      </c>
    </row>
    <row r="7" customFormat="false" ht="15" hidden="false" customHeight="false" outlineLevel="0" collapsed="false">
      <c r="A7" s="9" t="s">
        <v>24</v>
      </c>
      <c r="B7" s="13" t="str">
        <f aca="false">INDEX('Risk Register'!$I$6:$I$18,MATCH(A7,'Risk Register'!$A$6:$A$18,0))</f>
        <v>Medium</v>
      </c>
      <c r="C7" s="14" t="s">
        <v>111</v>
      </c>
      <c r="D7" s="12" t="s">
        <v>108</v>
      </c>
    </row>
    <row r="8" customFormat="false" ht="15" hidden="false" customHeight="false" outlineLevel="0" collapsed="false">
      <c r="A8" s="9" t="s">
        <v>35</v>
      </c>
      <c r="B8" s="13" t="str">
        <f aca="false">INDEX('Risk Register'!$I$6:$I$18,MATCH(A8,'Risk Register'!$A$6:$A$18,0))</f>
        <v>Low</v>
      </c>
      <c r="C8" s="14" t="s">
        <v>112</v>
      </c>
      <c r="D8" s="12" t="s">
        <v>108</v>
      </c>
    </row>
    <row r="9" customFormat="false" ht="15" hidden="false" customHeight="false" outlineLevel="0" collapsed="false">
      <c r="A9" s="9" t="s">
        <v>55</v>
      </c>
      <c r="B9" s="13" t="str">
        <f aca="false">INDEX('Risk Register'!$I$6:$I$18,MATCH(A9,'Risk Register'!$A$6:$A$18,0))</f>
        <v>Medium</v>
      </c>
      <c r="C9" s="14" t="s">
        <v>113</v>
      </c>
      <c r="D9" s="12" t="s">
        <v>108</v>
      </c>
    </row>
  </sheetData>
  <dataValidations count="1">
    <dataValidation allowBlank="false" errorStyle="stop" operator="between" showDropDown="false" showErrorMessage="false" showInputMessage="false" sqref="D4:D9" type="list">
      <formula1>"Planned,In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2026-10-10T13:39:53Z</dcterms:created>
  <dc:creator>openpyxl</dc:creator>
  <dc:description/>
  <dc:language>en-US</dc:language>
  <cp:lastModifiedBy/>
  <dcterms:modified xsi:type="dcterms:W3CDTF">2026-10-10T13:39:53Z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